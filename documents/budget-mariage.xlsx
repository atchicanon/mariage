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Bordeaux - 23-10-2027" sheetId="2" state="visible" r:id="rId2"/>
    <sheet name="La Réunion - 17-12-202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Narrow"/>
      <b val="1"/>
      <color rgb="00FFFFFF"/>
    </font>
    <font>
      <name val="Aptos Narrow"/>
      <i val="1"/>
      <color rgb="00808080"/>
    </font>
    <font>
      <name val="Aptos Narrow"/>
    </font>
    <font>
      <name val="Aptos Narrow"/>
      <b val="1"/>
    </font>
    <font>
      <name val="Aptos Narrow"/>
      <b val="1"/>
      <sz val="14"/>
    </font>
    <font>
      <name val="Aptos Narrow"/>
      <i val="1"/>
      <color rgb="00666666"/>
      <sz val="10"/>
    </font>
    <font>
      <name val="Aptos Narrow"/>
      <i val="1"/>
      <sz val="9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3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3" fillId="0" borderId="0" pivotButton="0" quotePrefix="0" xfId="0"/>
    <xf numFmtId="9" fontId="3" fillId="0" borderId="0" pivotButton="0" quotePrefix="0" xfId="0"/>
    <xf numFmtId="0" fontId="1" fillId="0" borderId="0" pivotButton="0" quotePrefix="0" xfId="0"/>
    <xf numFmtId="0" fontId="7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4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Suivi budget mariage</t>
        </is>
      </c>
    </row>
    <row r="3">
      <c r="B3" s="2" t="inlineStr">
        <is>
          <t>Renseignez l'enveloppe globale ci-dessous ; le reste se calcule automatiquement depuis les feuilles par cérémonie.</t>
        </is>
      </c>
    </row>
    <row r="5">
      <c r="B5" s="3" t="inlineStr">
        <is>
          <t>Cérémonie</t>
        </is>
      </c>
      <c r="C5" s="3" t="inlineStr">
        <is>
          <t>Enveloppe globale (€)</t>
        </is>
      </c>
      <c r="D5" s="3" t="inlineStr">
        <is>
          <t>Budget prévu (€)</t>
        </is>
      </c>
      <c r="E5" s="3" t="inlineStr">
        <is>
          <t>Montant réel (€)</t>
        </is>
      </c>
      <c r="F5" s="3" t="inlineStr">
        <is>
          <t>Reste à payer (€)</t>
        </is>
      </c>
      <c r="G5" s="3" t="inlineStr">
        <is>
          <t>Reste à allouer (€)</t>
        </is>
      </c>
    </row>
    <row r="6">
      <c r="B6" s="4" t="inlineStr">
        <is>
          <t>Bordeaux (civil)</t>
        </is>
      </c>
      <c r="C6" s="5" t="n"/>
      <c r="D6" s="4">
        <f>'Bordeaux - 23-10-2027'!C26</f>
        <v/>
      </c>
      <c r="E6" s="4">
        <f>'Bordeaux - 23-10-2027'!D26</f>
        <v/>
      </c>
      <c r="F6" s="4">
        <f>'Bordeaux - 23-10-2027'!F26</f>
        <v/>
      </c>
      <c r="G6" s="4">
        <f>C6-D6</f>
        <v/>
      </c>
    </row>
    <row r="7">
      <c r="B7" s="4" t="inlineStr">
        <is>
          <t>La Réunion (religieux)</t>
        </is>
      </c>
      <c r="C7" s="5" t="n"/>
      <c r="D7" s="4">
        <f>'La Réunion - 17-12-2027'!C26</f>
        <v/>
      </c>
      <c r="E7" s="4">
        <f>'La Réunion - 17-12-2027'!D26</f>
        <v/>
      </c>
      <c r="F7" s="4">
        <f>'La Réunion - 17-12-2027'!F26</f>
        <v/>
      </c>
      <c r="G7" s="4">
        <f>C7-D7</f>
        <v/>
      </c>
    </row>
    <row r="8">
      <c r="B8" s="6" t="inlineStr">
        <is>
          <t>TOTAL</t>
        </is>
      </c>
      <c r="C8" s="6">
        <f>SUM(C6:C7)</f>
        <v/>
      </c>
      <c r="D8" s="6">
        <f>SUM(D6:D7)</f>
        <v/>
      </c>
      <c r="E8" s="6">
        <f>SUM(E6:E7)</f>
        <v/>
      </c>
      <c r="F8" s="6">
        <f>SUM(F6:F7)</f>
        <v/>
      </c>
      <c r="G8" s="6">
        <f>SUM(G6:G7)</f>
        <v/>
      </c>
    </row>
    <row r="10">
      <c r="B10" s="7" t="inlineStr">
        <is>
          <t>% du budget prévu dépensé :</t>
        </is>
      </c>
      <c r="D10" s="8">
        <f>IFERROR(E8/D8,"–")</f>
        <v/>
      </c>
    </row>
    <row r="11">
      <c r="B11" s="7" t="inlineStr">
        <is>
          <t>% de l'enveloppe globale allouée :</t>
        </is>
      </c>
      <c r="D11" s="8">
        <f>IFERROR(D8/C8,"–")</f>
        <v/>
      </c>
    </row>
    <row r="13">
      <c r="B13" s="9" t="inlineStr">
        <is>
          <t>Légende</t>
        </is>
      </c>
    </row>
    <row r="14" ht="45" customHeight="1">
      <c r="B14" s="10" t="inlineStr">
        <is>
          <t>Jaune = cellules à compléter (enveloppe globale, montants, statut payé, notes). La ligne "Photographe (exemple)" sur chaque feuille de cérémonie montre le format attendu — à modifier ou supprimer.</t>
        </is>
      </c>
    </row>
  </sheetData>
  <mergeCells count="2">
    <mergeCell ref="B14:G14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6" customWidth="1" min="4" max="4"/>
    <col width="8" customWidth="1" min="5" max="5"/>
    <col width="16" customWidth="1" min="6" max="6"/>
    <col width="30" customWidth="1" min="7" max="7"/>
  </cols>
  <sheetData>
    <row r="1">
      <c r="A1" s="11" t="inlineStr">
        <is>
          <t>Catégorie</t>
        </is>
      </c>
      <c r="B1" s="11" t="inlineStr">
        <is>
          <t>Poste de dépense</t>
        </is>
      </c>
      <c r="C1" s="11" t="inlineStr">
        <is>
          <t>Budget prévu (€)</t>
        </is>
      </c>
      <c r="D1" s="11" t="inlineStr">
        <is>
          <t>Montant réel (€)</t>
        </is>
      </c>
      <c r="E1" s="11" t="inlineStr">
        <is>
          <t>Payé</t>
        </is>
      </c>
      <c r="F1" s="11" t="inlineStr">
        <is>
          <t>Reste à payer (€)</t>
        </is>
      </c>
      <c r="G1" s="11" t="inlineStr">
        <is>
          <t>Notes</t>
        </is>
      </c>
    </row>
    <row r="2">
      <c r="A2" s="12" t="inlineStr">
        <is>
          <t>Prestataires</t>
        </is>
      </c>
      <c r="B2" s="12" t="inlineStr">
        <is>
          <t>Photographe (exemple – à modifier ou supprimer)</t>
        </is>
      </c>
      <c r="C2" s="12" t="n">
        <v>1500</v>
      </c>
      <c r="D2" s="12" t="n">
        <v>1500</v>
      </c>
      <c r="E2" s="12" t="inlineStr">
        <is>
          <t>Oui</t>
        </is>
      </c>
      <c r="F2" s="12">
        <f>IF(E2="Oui",0,D2)</f>
        <v/>
      </c>
      <c r="G2" s="12" t="inlineStr">
        <is>
          <t>Acompte versé le 10/01</t>
        </is>
      </c>
    </row>
    <row r="3">
      <c r="A3" s="4" t="inlineStr">
        <is>
          <t>Lieu &amp; Réception</t>
        </is>
      </c>
      <c r="B3" s="4" t="inlineStr">
        <is>
          <t>Location de la salle</t>
        </is>
      </c>
      <c r="C3" s="5" t="n"/>
      <c r="D3" s="5" t="n"/>
      <c r="E3" s="5" t="inlineStr">
        <is>
          <t>Non</t>
        </is>
      </c>
      <c r="F3" s="4">
        <f>IF(E3="Oui",0,D3)</f>
        <v/>
      </c>
      <c r="G3" s="5" t="n"/>
    </row>
    <row r="4">
      <c r="A4" s="4" t="inlineStr">
        <is>
          <t>Lieu &amp; Réception</t>
        </is>
      </c>
      <c r="B4" s="4" t="inlineStr">
        <is>
          <t>Traiteur (repas + boissons)</t>
        </is>
      </c>
      <c r="C4" s="5" t="n"/>
      <c r="D4" s="5" t="n"/>
      <c r="E4" s="5" t="inlineStr">
        <is>
          <t>Non</t>
        </is>
      </c>
      <c r="F4" s="4">
        <f>IF(E4="Oui",0,D4)</f>
        <v/>
      </c>
      <c r="G4" s="5" t="n"/>
    </row>
    <row r="5">
      <c r="A5" s="4" t="inlineStr">
        <is>
          <t>Lieu &amp; Réception</t>
        </is>
      </c>
      <c r="B5" s="4" t="inlineStr">
        <is>
          <t>Gâteau / pièce montée</t>
        </is>
      </c>
      <c r="C5" s="5" t="n"/>
      <c r="D5" s="5" t="n"/>
      <c r="E5" s="5" t="inlineStr">
        <is>
          <t>Non</t>
        </is>
      </c>
      <c r="F5" s="4">
        <f>IF(E5="Oui",0,D5)</f>
        <v/>
      </c>
      <c r="G5" s="5" t="n"/>
    </row>
    <row r="6">
      <c r="A6" s="4" t="inlineStr">
        <is>
          <t>Tenues</t>
        </is>
      </c>
      <c r="B6" s="4" t="inlineStr">
        <is>
          <t>Robe de mariée</t>
        </is>
      </c>
      <c r="C6" s="5" t="n"/>
      <c r="D6" s="5" t="n"/>
      <c r="E6" s="5" t="inlineStr">
        <is>
          <t>Non</t>
        </is>
      </c>
      <c r="F6" s="4">
        <f>IF(E6="Oui",0,D6)</f>
        <v/>
      </c>
      <c r="G6" s="5" t="n"/>
    </row>
    <row r="7">
      <c r="A7" s="4" t="inlineStr">
        <is>
          <t>Tenues</t>
        </is>
      </c>
      <c r="B7" s="4" t="inlineStr">
        <is>
          <t>Costume du marié</t>
        </is>
      </c>
      <c r="C7" s="5" t="n"/>
      <c r="D7" s="5" t="n"/>
      <c r="E7" s="5" t="inlineStr">
        <is>
          <t>Non</t>
        </is>
      </c>
      <c r="F7" s="4">
        <f>IF(E7="Oui",0,D7)</f>
        <v/>
      </c>
      <c r="G7" s="5" t="n"/>
    </row>
    <row r="8">
      <c r="A8" s="4" t="inlineStr">
        <is>
          <t>Tenues</t>
        </is>
      </c>
      <c r="B8" s="4" t="inlineStr">
        <is>
          <t>Chaussures &amp; accessoires</t>
        </is>
      </c>
      <c r="C8" s="5" t="n"/>
      <c r="D8" s="5" t="n"/>
      <c r="E8" s="5" t="inlineStr">
        <is>
          <t>Non</t>
        </is>
      </c>
      <c r="F8" s="4">
        <f>IF(E8="Oui",0,D8)</f>
        <v/>
      </c>
      <c r="G8" s="5" t="n"/>
    </row>
    <row r="9">
      <c r="A9" s="4" t="inlineStr">
        <is>
          <t>Beauté</t>
        </is>
      </c>
      <c r="B9" s="4" t="inlineStr">
        <is>
          <t>Coiffure</t>
        </is>
      </c>
      <c r="C9" s="5" t="n"/>
      <c r="D9" s="5" t="n"/>
      <c r="E9" s="5" t="inlineStr">
        <is>
          <t>Non</t>
        </is>
      </c>
      <c r="F9" s="4">
        <f>IF(E9="Oui",0,D9)</f>
        <v/>
      </c>
      <c r="G9" s="5" t="n"/>
    </row>
    <row r="10">
      <c r="A10" s="4" t="inlineStr">
        <is>
          <t>Beauté</t>
        </is>
      </c>
      <c r="B10" s="4" t="inlineStr">
        <is>
          <t>Maquillage</t>
        </is>
      </c>
      <c r="C10" s="5" t="n"/>
      <c r="D10" s="5" t="n"/>
      <c r="E10" s="5" t="inlineStr">
        <is>
          <t>Non</t>
        </is>
      </c>
      <c r="F10" s="4">
        <f>IF(E10="Oui",0,D10)</f>
        <v/>
      </c>
      <c r="G10" s="5" t="n"/>
    </row>
    <row r="11">
      <c r="A11" s="4" t="inlineStr">
        <is>
          <t>Décoration &amp; Fleurs</t>
        </is>
      </c>
      <c r="B11" s="4" t="inlineStr">
        <is>
          <t>Bouquet &amp; fleurs de cérémonie</t>
        </is>
      </c>
      <c r="C11" s="5" t="n"/>
      <c r="D11" s="5" t="n"/>
      <c r="E11" s="5" t="inlineStr">
        <is>
          <t>Non</t>
        </is>
      </c>
      <c r="F11" s="4">
        <f>IF(E11="Oui",0,D11)</f>
        <v/>
      </c>
      <c r="G11" s="5" t="n"/>
    </row>
    <row r="12">
      <c r="A12" s="4" t="inlineStr">
        <is>
          <t>Décoration &amp; Fleurs</t>
        </is>
      </c>
      <c r="B12" s="4" t="inlineStr">
        <is>
          <t>Décoration de salle</t>
        </is>
      </c>
      <c r="C12" s="5" t="n"/>
      <c r="D12" s="5" t="n"/>
      <c r="E12" s="5" t="inlineStr">
        <is>
          <t>Non</t>
        </is>
      </c>
      <c r="F12" s="4">
        <f>IF(E12="Oui",0,D12)</f>
        <v/>
      </c>
      <c r="G12" s="5" t="n"/>
    </row>
    <row r="13">
      <c r="A13" s="4" t="inlineStr">
        <is>
          <t>Prestataires</t>
        </is>
      </c>
      <c r="B13" s="4" t="inlineStr">
        <is>
          <t>Photographe</t>
        </is>
      </c>
      <c r="C13" s="5" t="n"/>
      <c r="D13" s="5" t="n"/>
      <c r="E13" s="5" t="inlineStr">
        <is>
          <t>Non</t>
        </is>
      </c>
      <c r="F13" s="4">
        <f>IF(E13="Oui",0,D13)</f>
        <v/>
      </c>
      <c r="G13" s="5" t="n"/>
    </row>
    <row r="14">
      <c r="A14" s="4" t="inlineStr">
        <is>
          <t>Prestataires</t>
        </is>
      </c>
      <c r="B14" s="4" t="inlineStr">
        <is>
          <t>Vidéaste</t>
        </is>
      </c>
      <c r="C14" s="5" t="n"/>
      <c r="D14" s="5" t="n"/>
      <c r="E14" s="5" t="inlineStr">
        <is>
          <t>Non</t>
        </is>
      </c>
      <c r="F14" s="4">
        <f>IF(E14="Oui",0,D14)</f>
        <v/>
      </c>
      <c r="G14" s="5" t="n"/>
    </row>
    <row r="15">
      <c r="A15" s="4" t="inlineStr">
        <is>
          <t>Prestataires</t>
        </is>
      </c>
      <c r="B15" s="4" t="inlineStr">
        <is>
          <t>DJ / Animation musicale</t>
        </is>
      </c>
      <c r="C15" s="5" t="n"/>
      <c r="D15" s="5" t="n"/>
      <c r="E15" s="5" t="inlineStr">
        <is>
          <t>Non</t>
        </is>
      </c>
      <c r="F15" s="4">
        <f>IF(E15="Oui",0,D15)</f>
        <v/>
      </c>
      <c r="G15" s="5" t="n"/>
    </row>
    <row r="16">
      <c r="A16" s="4" t="inlineStr">
        <is>
          <t>Papeterie</t>
        </is>
      </c>
      <c r="B16" s="4" t="inlineStr">
        <is>
          <t>Faire-part</t>
        </is>
      </c>
      <c r="C16" s="5" t="n"/>
      <c r="D16" s="5" t="n"/>
      <c r="E16" s="5" t="inlineStr">
        <is>
          <t>Non</t>
        </is>
      </c>
      <c r="F16" s="4">
        <f>IF(E16="Oui",0,D16)</f>
        <v/>
      </c>
      <c r="G16" s="5" t="n"/>
    </row>
    <row r="17">
      <c r="A17" s="4" t="inlineStr">
        <is>
          <t>Papeterie</t>
        </is>
      </c>
      <c r="B17" s="4" t="inlineStr">
        <is>
          <t>Plan de table &amp; marque-places</t>
        </is>
      </c>
      <c r="C17" s="5" t="n"/>
      <c r="D17" s="5" t="n"/>
      <c r="E17" s="5" t="inlineStr">
        <is>
          <t>Non</t>
        </is>
      </c>
      <c r="F17" s="4">
        <f>IF(E17="Oui",0,D17)</f>
        <v/>
      </c>
      <c r="G17" s="5" t="n"/>
    </row>
    <row r="18">
      <c r="A18" s="4" t="inlineStr">
        <is>
          <t>Cérémonie</t>
        </is>
      </c>
      <c r="B18" s="4" t="inlineStr">
        <is>
          <t>Alliances</t>
        </is>
      </c>
      <c r="C18" s="5" t="n"/>
      <c r="D18" s="5" t="n"/>
      <c r="E18" s="5" t="inlineStr">
        <is>
          <t>Non</t>
        </is>
      </c>
      <c r="F18" s="4">
        <f>IF(E18="Oui",0,D18)</f>
        <v/>
      </c>
      <c r="G18" s="5" t="n"/>
    </row>
    <row r="19">
      <c r="A19" s="4" t="inlineStr">
        <is>
          <t>Cérémonie</t>
        </is>
      </c>
      <c r="B19" s="4" t="inlineStr">
        <is>
          <t>Officiant / mairie / église</t>
        </is>
      </c>
      <c r="C19" s="5" t="n"/>
      <c r="D19" s="5" t="n"/>
      <c r="E19" s="5" t="inlineStr">
        <is>
          <t>Non</t>
        </is>
      </c>
      <c r="F19" s="4">
        <f>IF(E19="Oui",0,D19)</f>
        <v/>
      </c>
      <c r="G19" s="5" t="n"/>
    </row>
    <row r="20">
      <c r="A20" s="4" t="inlineStr">
        <is>
          <t>Transport</t>
        </is>
      </c>
      <c r="B20" s="4" t="inlineStr">
        <is>
          <t>Location véhicule des mariés</t>
        </is>
      </c>
      <c r="C20" s="5" t="n"/>
      <c r="D20" s="5" t="n"/>
      <c r="E20" s="5" t="inlineStr">
        <is>
          <t>Non</t>
        </is>
      </c>
      <c r="F20" s="4">
        <f>IF(E20="Oui",0,D20)</f>
        <v/>
      </c>
      <c r="G20" s="5" t="n"/>
    </row>
    <row r="21">
      <c r="A21" s="4" t="inlineStr">
        <is>
          <t>Transport</t>
        </is>
      </c>
      <c r="B21" s="4" t="inlineStr">
        <is>
          <t>Transport des invités</t>
        </is>
      </c>
      <c r="C21" s="5" t="n"/>
      <c r="D21" s="5" t="n"/>
      <c r="E21" s="5" t="inlineStr">
        <is>
          <t>Non</t>
        </is>
      </c>
      <c r="F21" s="4">
        <f>IF(E21="Oui",0,D21)</f>
        <v/>
      </c>
      <c r="G21" s="5" t="n"/>
    </row>
    <row r="22">
      <c r="A22" s="4" t="inlineStr">
        <is>
          <t>Invités</t>
        </is>
      </c>
      <c r="B22" s="4" t="inlineStr">
        <is>
          <t>Hébergement des invités</t>
        </is>
      </c>
      <c r="C22" s="5" t="n"/>
      <c r="D22" s="5" t="n"/>
      <c r="E22" s="5" t="inlineStr">
        <is>
          <t>Non</t>
        </is>
      </c>
      <c r="F22" s="4">
        <f>IF(E22="Oui",0,D22)</f>
        <v/>
      </c>
      <c r="G22" s="5" t="n"/>
    </row>
    <row r="23">
      <c r="A23" s="4" t="inlineStr">
        <is>
          <t>Invités</t>
        </is>
      </c>
      <c r="B23" s="4" t="inlineStr">
        <is>
          <t>Cadeaux invités &amp; témoins</t>
        </is>
      </c>
      <c r="C23" s="5" t="n"/>
      <c r="D23" s="5" t="n"/>
      <c r="E23" s="5" t="inlineStr">
        <is>
          <t>Non</t>
        </is>
      </c>
      <c r="F23" s="4">
        <f>IF(E23="Oui",0,D23)</f>
        <v/>
      </c>
      <c r="G23" s="5" t="n"/>
    </row>
    <row r="24">
      <c r="A24" s="4" t="inlineStr">
        <is>
          <t>Voyage</t>
        </is>
      </c>
      <c r="B24" s="4" t="inlineStr">
        <is>
          <t>Voyage de noces</t>
        </is>
      </c>
      <c r="C24" s="5" t="n"/>
      <c r="D24" s="5" t="n"/>
      <c r="E24" s="5" t="inlineStr">
        <is>
          <t>Non</t>
        </is>
      </c>
      <c r="F24" s="4">
        <f>IF(E24="Oui",0,D24)</f>
        <v/>
      </c>
      <c r="G24" s="5" t="n"/>
    </row>
    <row r="25">
      <c r="A25" s="4" t="inlineStr">
        <is>
          <t>Divers</t>
        </is>
      </c>
      <c r="B25" s="4" t="inlineStr">
        <is>
          <t>Imprévus / marge de sécurité</t>
        </is>
      </c>
      <c r="C25" s="5" t="n"/>
      <c r="D25" s="5" t="n"/>
      <c r="E25" s="5" t="inlineStr">
        <is>
          <t>Non</t>
        </is>
      </c>
      <c r="F25" s="4">
        <f>IF(E25="Oui",0,D25)</f>
        <v/>
      </c>
      <c r="G25" s="5" t="n"/>
    </row>
    <row r="26">
      <c r="A26" s="6" t="inlineStr">
        <is>
          <t>TOTAL</t>
        </is>
      </c>
      <c r="B26" s="6" t="n"/>
      <c r="C26" s="6">
        <f>SUM(C2:C25)</f>
        <v/>
      </c>
      <c r="D26" s="6">
        <f>SUM(D2:D25)</f>
        <v/>
      </c>
      <c r="E26" s="6" t="n"/>
      <c r="F26" s="6">
        <f>SUM(F2:F25)</f>
        <v/>
      </c>
      <c r="G26" s="6" t="n"/>
    </row>
    <row r="28">
      <c r="A28" s="9" t="inlineStr">
        <is>
          <t>Sous-total par catégorie</t>
        </is>
      </c>
    </row>
    <row r="29">
      <c r="A29" s="9" t="inlineStr">
        <is>
          <t>Catégorie</t>
        </is>
      </c>
      <c r="C29" s="9" t="inlineStr">
        <is>
          <t>Prévu (€)</t>
        </is>
      </c>
      <c r="D29" s="9" t="inlineStr">
        <is>
          <t>Réel (€)</t>
        </is>
      </c>
    </row>
    <row r="30">
      <c r="A30" s="7" t="inlineStr">
        <is>
          <t>Prestataires</t>
        </is>
      </c>
      <c r="C30">
        <f>SUMIF($A$2:$A$25,A30,$C$2:$C$25)</f>
        <v/>
      </c>
      <c r="D30">
        <f>SUMIF($A$2:$A$25,A30,$D$2:$D$25)</f>
        <v/>
      </c>
    </row>
    <row r="31">
      <c r="A31" s="7" t="inlineStr">
        <is>
          <t>Lieu &amp; Réception</t>
        </is>
      </c>
      <c r="C31">
        <f>SUMIF($A$2:$A$25,A31,$C$2:$C$25)</f>
        <v/>
      </c>
      <c r="D31">
        <f>SUMIF($A$2:$A$25,A31,$D$2:$D$25)</f>
        <v/>
      </c>
    </row>
    <row r="32">
      <c r="A32" s="7" t="inlineStr">
        <is>
          <t>Tenues</t>
        </is>
      </c>
      <c r="C32">
        <f>SUMIF($A$2:$A$25,A32,$C$2:$C$25)</f>
        <v/>
      </c>
      <c r="D32">
        <f>SUMIF($A$2:$A$25,A32,$D$2:$D$25)</f>
        <v/>
      </c>
    </row>
    <row r="33">
      <c r="A33" s="7" t="inlineStr">
        <is>
          <t>Beauté</t>
        </is>
      </c>
      <c r="C33">
        <f>SUMIF($A$2:$A$25,A33,$C$2:$C$25)</f>
        <v/>
      </c>
      <c r="D33">
        <f>SUMIF($A$2:$A$25,A33,$D$2:$D$25)</f>
        <v/>
      </c>
    </row>
    <row r="34">
      <c r="A34" s="7" t="inlineStr">
        <is>
          <t>Décoration &amp; Fleurs</t>
        </is>
      </c>
      <c r="C34">
        <f>SUMIF($A$2:$A$25,A34,$C$2:$C$25)</f>
        <v/>
      </c>
      <c r="D34">
        <f>SUMIF($A$2:$A$25,A34,$D$2:$D$25)</f>
        <v/>
      </c>
    </row>
    <row r="35">
      <c r="A35" s="7" t="inlineStr">
        <is>
          <t>Papeterie</t>
        </is>
      </c>
      <c r="C35">
        <f>SUMIF($A$2:$A$25,A35,$C$2:$C$25)</f>
        <v/>
      </c>
      <c r="D35">
        <f>SUMIF($A$2:$A$25,A35,$D$2:$D$25)</f>
        <v/>
      </c>
    </row>
    <row r="36">
      <c r="A36" s="7" t="inlineStr">
        <is>
          <t>Cérémonie</t>
        </is>
      </c>
      <c r="C36">
        <f>SUMIF($A$2:$A$25,A36,$C$2:$C$25)</f>
        <v/>
      </c>
      <c r="D36">
        <f>SUMIF($A$2:$A$25,A36,$D$2:$D$25)</f>
        <v/>
      </c>
    </row>
    <row r="37">
      <c r="A37" s="7" t="inlineStr">
        <is>
          <t>Transport</t>
        </is>
      </c>
      <c r="C37">
        <f>SUMIF($A$2:$A$25,A37,$C$2:$C$25)</f>
        <v/>
      </c>
      <c r="D37">
        <f>SUMIF($A$2:$A$25,A37,$D$2:$D$25)</f>
        <v/>
      </c>
    </row>
    <row r="38">
      <c r="A38" s="7" t="inlineStr">
        <is>
          <t>Invités</t>
        </is>
      </c>
      <c r="C38">
        <f>SUMIF($A$2:$A$25,A38,$C$2:$C$25)</f>
        <v/>
      </c>
      <c r="D38">
        <f>SUMIF($A$2:$A$25,A38,$D$2:$D$25)</f>
        <v/>
      </c>
    </row>
    <row r="39">
      <c r="A39" s="7" t="inlineStr">
        <is>
          <t>Voyage</t>
        </is>
      </c>
      <c r="C39">
        <f>SUMIF($A$2:$A$25,A39,$C$2:$C$25)</f>
        <v/>
      </c>
      <c r="D39">
        <f>SUMIF($A$2:$A$25,A39,$D$2:$D$25)</f>
        <v/>
      </c>
    </row>
    <row r="40">
      <c r="A40" s="7" t="inlineStr">
        <is>
          <t>Divers</t>
        </is>
      </c>
      <c r="C40">
        <f>SUMIF($A$2:$A$25,A40,$C$2:$C$25)</f>
        <v/>
      </c>
      <c r="D40">
        <f>SUMIF($A$2:$A$25,A40,$D$2:$D$25)</f>
        <v/>
      </c>
    </row>
  </sheetData>
  <dataValidations count="1">
    <dataValidation sqref="E2 E3 E4 E5 E6 E7 E8 E9 E10 E11 E12 E13 E14 E15 E16 E17 E18 E19 E20 E21 E22 E23 E24 E25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6" customWidth="1" min="4" max="4"/>
    <col width="8" customWidth="1" min="5" max="5"/>
    <col width="16" customWidth="1" min="6" max="6"/>
    <col width="30" customWidth="1" min="7" max="7"/>
  </cols>
  <sheetData>
    <row r="1">
      <c r="A1" s="11" t="inlineStr">
        <is>
          <t>Catégorie</t>
        </is>
      </c>
      <c r="B1" s="11" t="inlineStr">
        <is>
          <t>Poste de dépense</t>
        </is>
      </c>
      <c r="C1" s="11" t="inlineStr">
        <is>
          <t>Budget prévu (€)</t>
        </is>
      </c>
      <c r="D1" s="11" t="inlineStr">
        <is>
          <t>Montant réel (€)</t>
        </is>
      </c>
      <c r="E1" s="11" t="inlineStr">
        <is>
          <t>Payé</t>
        </is>
      </c>
      <c r="F1" s="11" t="inlineStr">
        <is>
          <t>Reste à payer (€)</t>
        </is>
      </c>
      <c r="G1" s="11" t="inlineStr">
        <is>
          <t>Notes</t>
        </is>
      </c>
    </row>
    <row r="2">
      <c r="A2" s="12" t="inlineStr">
        <is>
          <t>Prestataires</t>
        </is>
      </c>
      <c r="B2" s="12" t="inlineStr">
        <is>
          <t>Photographe (exemple – à modifier ou supprimer)</t>
        </is>
      </c>
      <c r="C2" s="12" t="n">
        <v>1500</v>
      </c>
      <c r="D2" s="12" t="n">
        <v>1500</v>
      </c>
      <c r="E2" s="12" t="inlineStr">
        <is>
          <t>Oui</t>
        </is>
      </c>
      <c r="F2" s="12">
        <f>IF(E2="Oui",0,D2)</f>
        <v/>
      </c>
      <c r="G2" s="12" t="inlineStr">
        <is>
          <t>Acompte versé le 10/01</t>
        </is>
      </c>
    </row>
    <row r="3">
      <c r="A3" s="4" t="inlineStr">
        <is>
          <t>Lieu &amp; Réception</t>
        </is>
      </c>
      <c r="B3" s="4" t="inlineStr">
        <is>
          <t>Location de la salle</t>
        </is>
      </c>
      <c r="C3" s="5" t="n"/>
      <c r="D3" s="5" t="n"/>
      <c r="E3" s="5" t="inlineStr">
        <is>
          <t>Non</t>
        </is>
      </c>
      <c r="F3" s="4">
        <f>IF(E3="Oui",0,D3)</f>
        <v/>
      </c>
      <c r="G3" s="5" t="n"/>
    </row>
    <row r="4">
      <c r="A4" s="4" t="inlineStr">
        <is>
          <t>Lieu &amp; Réception</t>
        </is>
      </c>
      <c r="B4" s="4" t="inlineStr">
        <is>
          <t>Traiteur (repas + boissons)</t>
        </is>
      </c>
      <c r="C4" s="5" t="n"/>
      <c r="D4" s="5" t="n"/>
      <c r="E4" s="5" t="inlineStr">
        <is>
          <t>Non</t>
        </is>
      </c>
      <c r="F4" s="4">
        <f>IF(E4="Oui",0,D4)</f>
        <v/>
      </c>
      <c r="G4" s="5" t="n"/>
    </row>
    <row r="5">
      <c r="A5" s="4" t="inlineStr">
        <is>
          <t>Lieu &amp; Réception</t>
        </is>
      </c>
      <c r="B5" s="4" t="inlineStr">
        <is>
          <t>Gâteau / pièce montée</t>
        </is>
      </c>
      <c r="C5" s="5" t="n"/>
      <c r="D5" s="5" t="n"/>
      <c r="E5" s="5" t="inlineStr">
        <is>
          <t>Non</t>
        </is>
      </c>
      <c r="F5" s="4">
        <f>IF(E5="Oui",0,D5)</f>
        <v/>
      </c>
      <c r="G5" s="5" t="n"/>
    </row>
    <row r="6">
      <c r="A6" s="4" t="inlineStr">
        <is>
          <t>Tenues</t>
        </is>
      </c>
      <c r="B6" s="4" t="inlineStr">
        <is>
          <t>Robe de mariée</t>
        </is>
      </c>
      <c r="C6" s="5" t="n"/>
      <c r="D6" s="5" t="n"/>
      <c r="E6" s="5" t="inlineStr">
        <is>
          <t>Non</t>
        </is>
      </c>
      <c r="F6" s="4">
        <f>IF(E6="Oui",0,D6)</f>
        <v/>
      </c>
      <c r="G6" s="5" t="n"/>
    </row>
    <row r="7">
      <c r="A7" s="4" t="inlineStr">
        <is>
          <t>Tenues</t>
        </is>
      </c>
      <c r="B7" s="4" t="inlineStr">
        <is>
          <t>Costume du marié</t>
        </is>
      </c>
      <c r="C7" s="5" t="n"/>
      <c r="D7" s="5" t="n"/>
      <c r="E7" s="5" t="inlineStr">
        <is>
          <t>Non</t>
        </is>
      </c>
      <c r="F7" s="4">
        <f>IF(E7="Oui",0,D7)</f>
        <v/>
      </c>
      <c r="G7" s="5" t="n"/>
    </row>
    <row r="8">
      <c r="A8" s="4" t="inlineStr">
        <is>
          <t>Tenues</t>
        </is>
      </c>
      <c r="B8" s="4" t="inlineStr">
        <is>
          <t>Chaussures &amp; accessoires</t>
        </is>
      </c>
      <c r="C8" s="5" t="n"/>
      <c r="D8" s="5" t="n"/>
      <c r="E8" s="5" t="inlineStr">
        <is>
          <t>Non</t>
        </is>
      </c>
      <c r="F8" s="4">
        <f>IF(E8="Oui",0,D8)</f>
        <v/>
      </c>
      <c r="G8" s="5" t="n"/>
    </row>
    <row r="9">
      <c r="A9" s="4" t="inlineStr">
        <is>
          <t>Beauté</t>
        </is>
      </c>
      <c r="B9" s="4" t="inlineStr">
        <is>
          <t>Coiffure</t>
        </is>
      </c>
      <c r="C9" s="5" t="n"/>
      <c r="D9" s="5" t="n"/>
      <c r="E9" s="5" t="inlineStr">
        <is>
          <t>Non</t>
        </is>
      </c>
      <c r="F9" s="4">
        <f>IF(E9="Oui",0,D9)</f>
        <v/>
      </c>
      <c r="G9" s="5" t="n"/>
    </row>
    <row r="10">
      <c r="A10" s="4" t="inlineStr">
        <is>
          <t>Beauté</t>
        </is>
      </c>
      <c r="B10" s="4" t="inlineStr">
        <is>
          <t>Maquillage</t>
        </is>
      </c>
      <c r="C10" s="5" t="n"/>
      <c r="D10" s="5" t="n"/>
      <c r="E10" s="5" t="inlineStr">
        <is>
          <t>Non</t>
        </is>
      </c>
      <c r="F10" s="4">
        <f>IF(E10="Oui",0,D10)</f>
        <v/>
      </c>
      <c r="G10" s="5" t="n"/>
    </row>
    <row r="11">
      <c r="A11" s="4" t="inlineStr">
        <is>
          <t>Décoration &amp; Fleurs</t>
        </is>
      </c>
      <c r="B11" s="4" t="inlineStr">
        <is>
          <t>Bouquet &amp; fleurs de cérémonie</t>
        </is>
      </c>
      <c r="C11" s="5" t="n"/>
      <c r="D11" s="5" t="n"/>
      <c r="E11" s="5" t="inlineStr">
        <is>
          <t>Non</t>
        </is>
      </c>
      <c r="F11" s="4">
        <f>IF(E11="Oui",0,D11)</f>
        <v/>
      </c>
      <c r="G11" s="5" t="n"/>
    </row>
    <row r="12">
      <c r="A12" s="4" t="inlineStr">
        <is>
          <t>Décoration &amp; Fleurs</t>
        </is>
      </c>
      <c r="B12" s="4" t="inlineStr">
        <is>
          <t>Décoration de salle</t>
        </is>
      </c>
      <c r="C12" s="5" t="n"/>
      <c r="D12" s="5" t="n"/>
      <c r="E12" s="5" t="inlineStr">
        <is>
          <t>Non</t>
        </is>
      </c>
      <c r="F12" s="4">
        <f>IF(E12="Oui",0,D12)</f>
        <v/>
      </c>
      <c r="G12" s="5" t="n"/>
    </row>
    <row r="13">
      <c r="A13" s="4" t="inlineStr">
        <is>
          <t>Prestataires</t>
        </is>
      </c>
      <c r="B13" s="4" t="inlineStr">
        <is>
          <t>Photographe</t>
        </is>
      </c>
      <c r="C13" s="5" t="n"/>
      <c r="D13" s="5" t="n"/>
      <c r="E13" s="5" t="inlineStr">
        <is>
          <t>Non</t>
        </is>
      </c>
      <c r="F13" s="4">
        <f>IF(E13="Oui",0,D13)</f>
        <v/>
      </c>
      <c r="G13" s="5" t="n"/>
    </row>
    <row r="14">
      <c r="A14" s="4" t="inlineStr">
        <is>
          <t>Prestataires</t>
        </is>
      </c>
      <c r="B14" s="4" t="inlineStr">
        <is>
          <t>Vidéaste</t>
        </is>
      </c>
      <c r="C14" s="5" t="n"/>
      <c r="D14" s="5" t="n"/>
      <c r="E14" s="5" t="inlineStr">
        <is>
          <t>Non</t>
        </is>
      </c>
      <c r="F14" s="4">
        <f>IF(E14="Oui",0,D14)</f>
        <v/>
      </c>
      <c r="G14" s="5" t="n"/>
    </row>
    <row r="15">
      <c r="A15" s="4" t="inlineStr">
        <is>
          <t>Prestataires</t>
        </is>
      </c>
      <c r="B15" s="4" t="inlineStr">
        <is>
          <t>DJ / Animation musicale</t>
        </is>
      </c>
      <c r="C15" s="5" t="n"/>
      <c r="D15" s="5" t="n"/>
      <c r="E15" s="5" t="inlineStr">
        <is>
          <t>Non</t>
        </is>
      </c>
      <c r="F15" s="4">
        <f>IF(E15="Oui",0,D15)</f>
        <v/>
      </c>
      <c r="G15" s="5" t="n"/>
    </row>
    <row r="16">
      <c r="A16" s="4" t="inlineStr">
        <is>
          <t>Papeterie</t>
        </is>
      </c>
      <c r="B16" s="4" t="inlineStr">
        <is>
          <t>Faire-part</t>
        </is>
      </c>
      <c r="C16" s="5" t="n"/>
      <c r="D16" s="5" t="n"/>
      <c r="E16" s="5" t="inlineStr">
        <is>
          <t>Non</t>
        </is>
      </c>
      <c r="F16" s="4">
        <f>IF(E16="Oui",0,D16)</f>
        <v/>
      </c>
      <c r="G16" s="5" t="n"/>
    </row>
    <row r="17">
      <c r="A17" s="4" t="inlineStr">
        <is>
          <t>Papeterie</t>
        </is>
      </c>
      <c r="B17" s="4" t="inlineStr">
        <is>
          <t>Plan de table &amp; marque-places</t>
        </is>
      </c>
      <c r="C17" s="5" t="n"/>
      <c r="D17" s="5" t="n"/>
      <c r="E17" s="5" t="inlineStr">
        <is>
          <t>Non</t>
        </is>
      </c>
      <c r="F17" s="4">
        <f>IF(E17="Oui",0,D17)</f>
        <v/>
      </c>
      <c r="G17" s="5" t="n"/>
    </row>
    <row r="18">
      <c r="A18" s="4" t="inlineStr">
        <is>
          <t>Cérémonie</t>
        </is>
      </c>
      <c r="B18" s="4" t="inlineStr">
        <is>
          <t>Alliances</t>
        </is>
      </c>
      <c r="C18" s="5" t="n"/>
      <c r="D18" s="5" t="n"/>
      <c r="E18" s="5" t="inlineStr">
        <is>
          <t>Non</t>
        </is>
      </c>
      <c r="F18" s="4">
        <f>IF(E18="Oui",0,D18)</f>
        <v/>
      </c>
      <c r="G18" s="5" t="n"/>
    </row>
    <row r="19">
      <c r="A19" s="4" t="inlineStr">
        <is>
          <t>Cérémonie</t>
        </is>
      </c>
      <c r="B19" s="4" t="inlineStr">
        <is>
          <t>Officiant / mairie / église</t>
        </is>
      </c>
      <c r="C19" s="5" t="n"/>
      <c r="D19" s="5" t="n"/>
      <c r="E19" s="5" t="inlineStr">
        <is>
          <t>Non</t>
        </is>
      </c>
      <c r="F19" s="4">
        <f>IF(E19="Oui",0,D19)</f>
        <v/>
      </c>
      <c r="G19" s="5" t="n"/>
    </row>
    <row r="20">
      <c r="A20" s="4" t="inlineStr">
        <is>
          <t>Transport</t>
        </is>
      </c>
      <c r="B20" s="4" t="inlineStr">
        <is>
          <t>Location véhicule des mariés</t>
        </is>
      </c>
      <c r="C20" s="5" t="n"/>
      <c r="D20" s="5" t="n"/>
      <c r="E20" s="5" t="inlineStr">
        <is>
          <t>Non</t>
        </is>
      </c>
      <c r="F20" s="4">
        <f>IF(E20="Oui",0,D20)</f>
        <v/>
      </c>
      <c r="G20" s="5" t="n"/>
    </row>
    <row r="21">
      <c r="A21" s="4" t="inlineStr">
        <is>
          <t>Transport</t>
        </is>
      </c>
      <c r="B21" s="4" t="inlineStr">
        <is>
          <t>Transport des invités</t>
        </is>
      </c>
      <c r="C21" s="5" t="n"/>
      <c r="D21" s="5" t="n"/>
      <c r="E21" s="5" t="inlineStr">
        <is>
          <t>Non</t>
        </is>
      </c>
      <c r="F21" s="4">
        <f>IF(E21="Oui",0,D21)</f>
        <v/>
      </c>
      <c r="G21" s="5" t="n"/>
    </row>
    <row r="22">
      <c r="A22" s="4" t="inlineStr">
        <is>
          <t>Invités</t>
        </is>
      </c>
      <c r="B22" s="4" t="inlineStr">
        <is>
          <t>Hébergement des invités</t>
        </is>
      </c>
      <c r="C22" s="5" t="n"/>
      <c r="D22" s="5" t="n"/>
      <c r="E22" s="5" t="inlineStr">
        <is>
          <t>Non</t>
        </is>
      </c>
      <c r="F22" s="4">
        <f>IF(E22="Oui",0,D22)</f>
        <v/>
      </c>
      <c r="G22" s="5" t="n"/>
    </row>
    <row r="23">
      <c r="A23" s="4" t="inlineStr">
        <is>
          <t>Invités</t>
        </is>
      </c>
      <c r="B23" s="4" t="inlineStr">
        <is>
          <t>Cadeaux invités &amp; témoins</t>
        </is>
      </c>
      <c r="C23" s="5" t="n"/>
      <c r="D23" s="5" t="n"/>
      <c r="E23" s="5" t="inlineStr">
        <is>
          <t>Non</t>
        </is>
      </c>
      <c r="F23" s="4">
        <f>IF(E23="Oui",0,D23)</f>
        <v/>
      </c>
      <c r="G23" s="5" t="n"/>
    </row>
    <row r="24">
      <c r="A24" s="4" t="inlineStr">
        <is>
          <t>Voyage</t>
        </is>
      </c>
      <c r="B24" s="4" t="inlineStr">
        <is>
          <t>Voyage de noces</t>
        </is>
      </c>
      <c r="C24" s="5" t="n"/>
      <c r="D24" s="5" t="n"/>
      <c r="E24" s="5" t="inlineStr">
        <is>
          <t>Non</t>
        </is>
      </c>
      <c r="F24" s="4">
        <f>IF(E24="Oui",0,D24)</f>
        <v/>
      </c>
      <c r="G24" s="5" t="n"/>
    </row>
    <row r="25">
      <c r="A25" s="4" t="inlineStr">
        <is>
          <t>Divers</t>
        </is>
      </c>
      <c r="B25" s="4" t="inlineStr">
        <is>
          <t>Imprévus / marge de sécurité</t>
        </is>
      </c>
      <c r="C25" s="5" t="n"/>
      <c r="D25" s="5" t="n"/>
      <c r="E25" s="5" t="inlineStr">
        <is>
          <t>Non</t>
        </is>
      </c>
      <c r="F25" s="4">
        <f>IF(E25="Oui",0,D25)</f>
        <v/>
      </c>
      <c r="G25" s="5" t="n"/>
    </row>
    <row r="26">
      <c r="A26" s="6" t="inlineStr">
        <is>
          <t>TOTAL</t>
        </is>
      </c>
      <c r="B26" s="6" t="n"/>
      <c r="C26" s="6">
        <f>SUM(C2:C25)</f>
        <v/>
      </c>
      <c r="D26" s="6">
        <f>SUM(D2:D25)</f>
        <v/>
      </c>
      <c r="E26" s="6" t="n"/>
      <c r="F26" s="6">
        <f>SUM(F2:F25)</f>
        <v/>
      </c>
      <c r="G26" s="6" t="n"/>
    </row>
    <row r="28">
      <c r="A28" s="9" t="inlineStr">
        <is>
          <t>Sous-total par catégorie</t>
        </is>
      </c>
    </row>
    <row r="29">
      <c r="A29" s="9" t="inlineStr">
        <is>
          <t>Catégorie</t>
        </is>
      </c>
      <c r="C29" s="9" t="inlineStr">
        <is>
          <t>Prévu (€)</t>
        </is>
      </c>
      <c r="D29" s="9" t="inlineStr">
        <is>
          <t>Réel (€)</t>
        </is>
      </c>
    </row>
    <row r="30">
      <c r="A30" s="7" t="inlineStr">
        <is>
          <t>Prestataires</t>
        </is>
      </c>
      <c r="C30">
        <f>SUMIF($A$2:$A$25,A30,$C$2:$C$25)</f>
        <v/>
      </c>
      <c r="D30">
        <f>SUMIF($A$2:$A$25,A30,$D$2:$D$25)</f>
        <v/>
      </c>
    </row>
    <row r="31">
      <c r="A31" s="7" t="inlineStr">
        <is>
          <t>Lieu &amp; Réception</t>
        </is>
      </c>
      <c r="C31">
        <f>SUMIF($A$2:$A$25,A31,$C$2:$C$25)</f>
        <v/>
      </c>
      <c r="D31">
        <f>SUMIF($A$2:$A$25,A31,$D$2:$D$25)</f>
        <v/>
      </c>
    </row>
    <row r="32">
      <c r="A32" s="7" t="inlineStr">
        <is>
          <t>Tenues</t>
        </is>
      </c>
      <c r="C32">
        <f>SUMIF($A$2:$A$25,A32,$C$2:$C$25)</f>
        <v/>
      </c>
      <c r="D32">
        <f>SUMIF($A$2:$A$25,A32,$D$2:$D$25)</f>
        <v/>
      </c>
    </row>
    <row r="33">
      <c r="A33" s="7" t="inlineStr">
        <is>
          <t>Beauté</t>
        </is>
      </c>
      <c r="C33">
        <f>SUMIF($A$2:$A$25,A33,$C$2:$C$25)</f>
        <v/>
      </c>
      <c r="D33">
        <f>SUMIF($A$2:$A$25,A33,$D$2:$D$25)</f>
        <v/>
      </c>
    </row>
    <row r="34">
      <c r="A34" s="7" t="inlineStr">
        <is>
          <t>Décoration &amp; Fleurs</t>
        </is>
      </c>
      <c r="C34">
        <f>SUMIF($A$2:$A$25,A34,$C$2:$C$25)</f>
        <v/>
      </c>
      <c r="D34">
        <f>SUMIF($A$2:$A$25,A34,$D$2:$D$25)</f>
        <v/>
      </c>
    </row>
    <row r="35">
      <c r="A35" s="7" t="inlineStr">
        <is>
          <t>Papeterie</t>
        </is>
      </c>
      <c r="C35">
        <f>SUMIF($A$2:$A$25,A35,$C$2:$C$25)</f>
        <v/>
      </c>
      <c r="D35">
        <f>SUMIF($A$2:$A$25,A35,$D$2:$D$25)</f>
        <v/>
      </c>
    </row>
    <row r="36">
      <c r="A36" s="7" t="inlineStr">
        <is>
          <t>Cérémonie</t>
        </is>
      </c>
      <c r="C36">
        <f>SUMIF($A$2:$A$25,A36,$C$2:$C$25)</f>
        <v/>
      </c>
      <c r="D36">
        <f>SUMIF($A$2:$A$25,A36,$D$2:$D$25)</f>
        <v/>
      </c>
    </row>
    <row r="37">
      <c r="A37" s="7" t="inlineStr">
        <is>
          <t>Transport</t>
        </is>
      </c>
      <c r="C37">
        <f>SUMIF($A$2:$A$25,A37,$C$2:$C$25)</f>
        <v/>
      </c>
      <c r="D37">
        <f>SUMIF($A$2:$A$25,A37,$D$2:$D$25)</f>
        <v/>
      </c>
    </row>
    <row r="38">
      <c r="A38" s="7" t="inlineStr">
        <is>
          <t>Invités</t>
        </is>
      </c>
      <c r="C38">
        <f>SUMIF($A$2:$A$25,A38,$C$2:$C$25)</f>
        <v/>
      </c>
      <c r="D38">
        <f>SUMIF($A$2:$A$25,A38,$D$2:$D$25)</f>
        <v/>
      </c>
    </row>
    <row r="39">
      <c r="A39" s="7" t="inlineStr">
        <is>
          <t>Voyage</t>
        </is>
      </c>
      <c r="C39">
        <f>SUMIF($A$2:$A$25,A39,$C$2:$C$25)</f>
        <v/>
      </c>
      <c r="D39">
        <f>SUMIF($A$2:$A$25,A39,$D$2:$D$25)</f>
        <v/>
      </c>
    </row>
    <row r="40">
      <c r="A40" s="7" t="inlineStr">
        <is>
          <t>Divers</t>
        </is>
      </c>
      <c r="C40">
        <f>SUMIF($A$2:$A$25,A40,$C$2:$C$25)</f>
        <v/>
      </c>
      <c r="D40">
        <f>SUMIF($A$2:$A$25,A40,$D$2:$D$25)</f>
        <v/>
      </c>
    </row>
  </sheetData>
  <dataValidations count="1">
    <dataValidation sqref="E2 E3 E4 E5 E6 E7 E8 E9 E10 E11 E12 E13 E14 E15 E16 E17 E18 E19 E20 E21 E22 E23 E24 E25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2026-07-29T14:24:54Z</dcterms:created>
  <dcterms:modified xsi:type="dcterms:W3CDTF">2026-07-29T14:24:54Z</dcterms:modified>
</cp:coreProperties>
</file>